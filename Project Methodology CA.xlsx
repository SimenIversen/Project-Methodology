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codeName="ThisWorkbook"/>
  <mc:AlternateContent xmlns:mc="http://schemas.openxmlformats.org/markup-compatibility/2006">
    <mc:Choice Requires="x15">
      <x15ac:absPath xmlns:x15ac="http://schemas.microsoft.com/office/spreadsheetml/2010/11/ac" url="/Users/iversen/Desktop/Website/"/>
    </mc:Choice>
  </mc:AlternateContent>
  <xr:revisionPtr revIDLastSave="0" documentId="8_{8847AB8E-9FA6-B246-ACF6-9B0CC0C8FE4C}" xr6:coauthVersionLast="36" xr6:coauthVersionMax="36" xr10:uidLastSave="{00000000-0000-0000-0000-000000000000}"/>
  <bookViews>
    <workbookView xWindow="0" yWindow="0" windowWidth="25600" windowHeight="16000" xr2:uid="{00000000-000D-0000-FFFF-FFFF00000000}"/>
  </bookViews>
  <sheets>
    <sheet name="ProjectSchedule" sheetId="11" r:id="rId1"/>
    <sheet name="About" sheetId="12" r:id="rId2"/>
  </sheets>
  <definedNames>
    <definedName name="Display_Week">ProjectSchedule!$E$4</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 name="_xlnm.Print_Titles" localSheetId="0">ProjectSchedule!$4:$6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1" l="1"/>
  <c r="H7" i="11" l="1"/>
  <c r="E9" i="11" l="1"/>
  <c r="E19" i="11" s="1"/>
  <c r="F19" i="11" l="1"/>
  <c r="E23" i="11"/>
  <c r="E20" i="11"/>
  <c r="F9" i="11"/>
  <c r="E10" i="11" s="1"/>
  <c r="I5" i="11"/>
  <c r="H34" i="11"/>
  <c r="H33" i="11"/>
  <c r="H25" i="11"/>
  <c r="H18" i="11"/>
  <c r="H13" i="11"/>
  <c r="H8" i="11"/>
  <c r="E21" i="11" l="1"/>
  <c r="F20" i="11"/>
  <c r="H20" i="11" s="1"/>
  <c r="H19" i="11"/>
  <c r="F10" i="11"/>
  <c r="E11" i="11" s="1"/>
  <c r="F11" i="11" s="1"/>
  <c r="H9" i="11"/>
  <c r="I6" i="11"/>
  <c r="E22" i="11" l="1"/>
  <c r="F22" i="11" s="1"/>
  <c r="F23" i="11" s="1"/>
  <c r="F21" i="11"/>
  <c r="H21" i="11" s="1"/>
  <c r="E24" i="11"/>
  <c r="H10" i="11"/>
  <c r="E12" i="11"/>
  <c r="F12" i="11" s="1"/>
  <c r="E14" i="11" s="1"/>
  <c r="E15" i="11" s="1"/>
  <c r="F15" i="11" s="1"/>
  <c r="E16" i="11" s="1"/>
  <c r="F16" i="11" s="1"/>
  <c r="E17" i="11" s="1"/>
  <c r="F17" i="11" s="1"/>
  <c r="J5" i="11"/>
  <c r="K5" i="11" s="1"/>
  <c r="L5" i="11" s="1"/>
  <c r="M5" i="11" s="1"/>
  <c r="N5" i="11" s="1"/>
  <c r="O5" i="11" s="1"/>
  <c r="P5" i="11" s="1"/>
  <c r="I4" i="11"/>
  <c r="F24" i="11" l="1"/>
  <c r="H22" i="11"/>
  <c r="F14" i="11"/>
  <c r="H14" i="11" s="1"/>
  <c r="H11" i="11"/>
  <c r="H12" i="11"/>
  <c r="P4" i="11"/>
  <c r="Q5" i="11"/>
  <c r="R5" i="11" s="1"/>
  <c r="S5" i="11" s="1"/>
  <c r="T5" i="11" s="1"/>
  <c r="U5" i="11" s="1"/>
  <c r="V5" i="11" s="1"/>
  <c r="W5" i="11" s="1"/>
  <c r="J6" i="11"/>
  <c r="H24" i="11" l="1"/>
  <c r="E26" i="11"/>
  <c r="H15" i="11"/>
  <c r="H16" i="11"/>
  <c r="W4" i="11"/>
  <c r="X5" i="11"/>
  <c r="Y5" i="11" s="1"/>
  <c r="Z5" i="11" s="1"/>
  <c r="AA5" i="11" s="1"/>
  <c r="AB5" i="11" s="1"/>
  <c r="AC5" i="11" s="1"/>
  <c r="AD5" i="11" s="1"/>
  <c r="K6" i="11"/>
  <c r="F26" i="11" l="1"/>
  <c r="F27" i="11" s="1"/>
  <c r="F28" i="11" s="1"/>
  <c r="E27" i="11"/>
  <c r="H17" i="11"/>
  <c r="AE5" i="11"/>
  <c r="AF5" i="11" s="1"/>
  <c r="AG5" i="11" s="1"/>
  <c r="AH5" i="11" s="1"/>
  <c r="AI5" i="11" s="1"/>
  <c r="AJ5" i="11" s="1"/>
  <c r="AD4" i="11"/>
  <c r="L6" i="11"/>
  <c r="F31" i="11" l="1"/>
  <c r="F29" i="11"/>
  <c r="F30" i="11" s="1"/>
  <c r="H26" i="11"/>
  <c r="H27" i="11"/>
  <c r="E28" i="11"/>
  <c r="E29" i="11" s="1"/>
  <c r="E30" i="11" s="1"/>
  <c r="AK5" i="11"/>
  <c r="AL5" i="11" s="1"/>
  <c r="AM5" i="11" s="1"/>
  <c r="AN5" i="11" s="1"/>
  <c r="AO5" i="11" s="1"/>
  <c r="AP5" i="11" s="1"/>
  <c r="AQ5" i="11" s="1"/>
  <c r="M6" i="11"/>
  <c r="E32" i="11" l="1"/>
  <c r="F32" i="11" s="1"/>
  <c r="H32" i="11" s="1"/>
  <c r="H28" i="11"/>
  <c r="E31" i="11"/>
  <c r="H31" i="11" s="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<sst xmlns="http://schemas.openxmlformats.org/spreadsheetml/2006/main" count="81" uniqueCount="74">
  <si>
    <t>Insert new rows ABOVE this one</t>
  </si>
  <si>
    <t>Project Start:</t>
  </si>
  <si>
    <t>PROGRESS</t>
  </si>
  <si>
    <t>ASSIGNED
TO</t>
  </si>
  <si>
    <t>PROJECT TITLE</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</si>
  <si>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</si>
  <si>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</si>
  <si>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</si>
  <si>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</si>
  <si>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</si>
  <si>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</si>
  <si>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</si>
  <si>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</si>
  <si>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</si>
  <si>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</si>
  <si>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</si>
  <si>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</si>
  <si>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</si>
  <si>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</si>
  <si>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</si>
  <si>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</si>
  <si>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</si>
  <si>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</si>
  <si>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Company Name</t>
  </si>
  <si>
    <t>Project Lead</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</si>
  <si>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</si>
  <si>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</si>
  <si>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</si>
  <si>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Name</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</si>
  <si>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</si>
  <si>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</si>
  <si>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</si>
  <si>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</si>
  <si>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</si>
  <si>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</si>
  <si>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</si>
  <si>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</si>
  <si>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</si>
  <si>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</si>
  <si>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</si>
  <si>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</si>
  <si>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</si>
  <si>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Project start</t>
  </si>
  <si>
    <t>Project meeting</t>
  </si>
  <si>
    <t>Project planing</t>
  </si>
  <si>
    <t>Design</t>
  </si>
  <si>
    <t>Design delivery</t>
  </si>
  <si>
    <t>Home page</t>
  </si>
  <si>
    <t>Order</t>
  </si>
  <si>
    <t>Back end</t>
  </si>
  <si>
    <t>CSS</t>
  </si>
  <si>
    <t>Project reseach</t>
  </si>
  <si>
    <t xml:space="preserve">Work plan </t>
  </si>
  <si>
    <t>Reserch</t>
  </si>
  <si>
    <t>Design concepts</t>
  </si>
  <si>
    <t>finale design concepts</t>
  </si>
  <si>
    <t>Project delivery</t>
  </si>
  <si>
    <t>Develupment</t>
  </si>
  <si>
    <t>About us</t>
  </si>
  <si>
    <t>Contact us</t>
  </si>
  <si>
    <t>Final control</t>
  </si>
  <si>
    <t>Testing home page</t>
  </si>
  <si>
    <t>testing order page</t>
  </si>
  <si>
    <t>testing about us page</t>
  </si>
  <si>
    <t>Testing contact us page</t>
  </si>
  <si>
    <t>testing back end</t>
  </si>
  <si>
    <t>Testing graffics</t>
  </si>
  <si>
    <t>8 hours</t>
  </si>
  <si>
    <t xml:space="preserve">112 hours </t>
  </si>
  <si>
    <t>Total hours</t>
  </si>
  <si>
    <t>200 hours</t>
  </si>
  <si>
    <t>201 hours</t>
  </si>
  <si>
    <t>one day = 8 hours, on Design,Develupment and final control. Exsept delivery =1 hour</t>
  </si>
  <si>
    <t>Project Start = 2 hour pr.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</si>
</sst>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4" fillId="0" borderId="0"/>
    <xf numFmtId="164" fontId="9" fillId="0" borderId="3" applyFont="0" applyFill="0" applyAlignment="0" applyProtection="0"/>
    <xf numFmtId="0" fontId="15"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NumberFormat="1"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4" fillId="12" borderId="8" xfId="0" applyFont="1" applyFill="1" applyBorder="1" applyAlignment="1">
      <alignment horizontal="center" vertical="center" shrinkToFit="1"/>
    </xf>
    <xf numFmtId="0" fontId="16" fillId="0" borderId="0" xfId="0" applyFont="1"/>
    <xf numFmtId="9" fontId="5" fillId="0" borderId="2" xfId="2" applyFont="1" applyFill="1" applyBorder="1" applyAlignment="1">
      <alignment horizontal="center" vertical="center"/>
    </xf>
    <xf numFmtId="0" fontId="5" fillId="0" borderId="2" xfId="0" applyNumberFormat="1"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on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on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on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on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NumberFormat="1"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pplyProtection="1">
      <alignment vertical="top"/>
    </xf>
    <xf numFmtId="0" fontId="2" fillId="0" borderId="0" xfId="0" applyFont="1"/>
    <xf numFmtId="0" fontId="18" fillId="0" borderId="0" xfId="0" applyFont="1" applyAlignment="1" applyProtection="1">
      <alignment horizontal="left" vertical="center"/>
    </xf>
    <xf numFmtId="0" fontId="19" fillId="0" borderId="0" xfId="0" applyFont="1" applyAlignment="1">
      <alignment horizontal="left" vertical="center"/>
    </xf>
    <xf numFmtId="0" fontId="21" fillId="0" borderId="0" xfId="0" applyFont="1"/>
    <xf numFmtId="0" fontId="2" fillId="0" borderId="0" xfId="0" applyFont="1" applyAlignment="1">
      <alignment vertical="top"/>
    </xf>
    <xf numFmtId="0" fontId="23" fillId="0" borderId="0" xfId="0" applyFont="1" applyAlignment="1">
      <alignment vertical="center"/>
    </xf>
    <xf numFmtId="0" fontId="22" fillId="0" borderId="0" xfId="0" applyFont="1" applyAlignment="1">
      <alignment horizontal="left" vertical="top" wrapText="1" indent="1"/>
    </xf>
    <xf numFmtId="0" fontId="2" fillId="0" borderId="0" xfId="0" applyFont="1" applyAlignment="1">
      <alignment horizontal="left" vertical="top"/>
    </xf>
    <xf numFmtId="0" fontId="20"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4" fillId="0" borderId="0" xfId="3"/>
    <xf numFmtId="0" fontId="24" fillId="0" borderId="0" xfId="3" applyAlignment="1">
      <alignment wrapText="1"/>
    </xf>
    <xf numFmtId="0" fontId="24" fillId="0" borderId="0" xfId="0" applyNumberFormat="1" applyFont="1" applyAlignment="1">
      <alignment horizontal="center"/>
    </xf>
    <xf numFmtId="0" fontId="17" fillId="0" borderId="0" xfId="1" applyFont="1" applyAlignment="1" applyProtection="1">
      <alignment vertical="top"/>
    </xf>
    <xf numFmtId="0" fontId="0" fillId="0" borderId="0" xfId="0" applyAlignment="1">
      <alignment wrapText="1"/>
    </xf>
    <xf numFmtId="0" fontId="15" fillId="0" borderId="0" xfId="5" applyAlignment="1">
      <alignment horizontal="left"/>
    </xf>
    <xf numFmtId="0" fontId="10" fillId="0" borderId="0" xfId="6"/>
    <xf numFmtId="0" fontId="10" fillId="0" borderId="0" xfId="7">
      <alignment vertical="top"/>
    </xf>
    <xf numFmtId="165" fontId="9" fillId="3" borderId="2" xfId="10" applyFill="1">
      <alignment horizontal="center" vertical="center"/>
    </xf>
    <xf numFmtId="165" fontId="9" fillId="4" borderId="2" xfId="10" applyFill="1">
      <alignment horizontal="center" vertical="center"/>
    </xf>
    <xf numFmtId="165" fontId="9" fillId="11" borderId="2" xfId="10" applyFill="1">
      <alignment horizontal="center" vertical="center"/>
    </xf>
    <xf numFmtId="165" fontId="9" fillId="10" borderId="2" xfId="10" applyFill="1">
      <alignment horizontal="center" vertical="center"/>
    </xf>
    <xf numFmtId="165" fontId="9" fillId="0" borderId="2" xfId="10" applyFill="1">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pplyFill="1">
      <alignment horizontal="center" vertical="center"/>
    </xf>
    <xf numFmtId="0" fontId="9" fillId="0" borderId="2" xfId="12" applyFill="1">
      <alignment horizontal="left" vertical="center" indent="2"/>
    </xf>
    <xf numFmtId="167" fontId="0" fillId="7" borderId="4" xfId="0" applyNumberFormat="1" applyFont="1" applyFill="1" applyBorder="1" applyAlignment="1">
      <alignment horizontal="left" vertical="center" wrapText="1" indent="1"/>
    </xf>
    <xf numFmtId="167" fontId="0" fillId="7" borderId="1" xfId="0" applyNumberFormat="1" applyFont="1" applyFill="1" applyBorder="1" applyAlignment="1">
      <alignment horizontal="left" vertical="center" wrapText="1" indent="1"/>
    </xf>
    <xf numFmtId="167" fontId="0" fillId="7" borderId="5" xfId="0" applyNumberFormat="1" applyFon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xf numFmtId="0" fontId="0" fillId="3" borderId="2" xfId="12" applyFont="1" applyFill="1">
      <alignment horizontal="left" vertical="center" indent="2"/>
    </xf>
    <xf numFmtId="0" fontId="0" fillId="4" borderId="2" xfId="12" applyFont="1" applyFill="1">
      <alignment horizontal="left" vertical="center" indent="2"/>
    </xf>
    <xf numFmtId="165" fontId="0" fillId="4" borderId="2" xfId="10" applyFont="1" applyFill="1">
      <alignment horizontal="center" vertical="center"/>
    </xf>
    <xf numFmtId="0" fontId="0" fillId="10" borderId="2" xfId="12" applyFont="1" applyFill="1">
      <alignment horizontal="left" vertical="center" indent="2"/>
    </xf>
    <xf numFmtId="0" fontId="0" fillId="11" borderId="2" xfId="12" applyFont="1" applyFill="1">
      <alignment horizontal="left" vertical="center" indent="2"/>
    </xf>
  </cellXfs>
  <cellStyles count="13">
    <cellStyle name="Date" xfId="10" xr:uid="{229918B6-DD13-4F5A-97B9-305F7E002AA3}"/>
    <cellStyle name="Hyperkobling" xfId="1" builtinId="8" customBuiltin="1"/>
    <cellStyle name="Komma" xfId="4" builtinId="3" customBuiltin="1"/>
    <cellStyle name="Name" xfId="11" xr:uid="{B2D3C1EE-6B41-4801-AAFC-C2274E49E503}"/>
    <cellStyle name="Normal" xfId="0" builtinId="0"/>
    <cellStyle name="Overskrift 1" xfId="6" builtinId="16" customBuiltin="1"/>
    <cellStyle name="Overskrift 2" xfId="7" builtinId="17" customBuiltin="1"/>
    <cellStyle name="Overskrift 3" xfId="8" builtinId="18" customBuiltin="1"/>
    <cellStyle name="Project Start" xfId="9" xr:uid="{8EB8A09A-C31C-40A3-B2C1-9449520178B8}"/>
    <cellStyle name="Prosent" xfId="2" builtinId="5"/>
    <cellStyle name="Task" xfId="12" xr:uid="{6391D789-272B-4DD2-9BF3-2CDCF610FA41}"/>
    <cellStyle name="Tittel"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1"/>
  <sheetViews>
    <sheetView showGridLines="0" tabSelected="1" showRuler="0" zoomScaleNormal="100" zoomScalePageLayoutView="70" workbookViewId="0">
      <pane ySplit="6" topLeftCell="A8" activePane="bottomLeft" state="frozen"/>
      <selection pane="bottomLeft" activeCell="C42" sqref="C42"/>
    </sheetView>
  </sheetViews>
  <sheetFormatPr baseColWidth="10" defaultColWidth="8.83203125" defaultRowHeight="30" customHeight="1" x14ac:dyDescent="0.2"/>
  <cols>
    <col min="1" max="1" width="2.6640625" style="59" customWidth="1"/>
    <col min="2" max="2" width="19.83203125" customWidth="1"/>
    <col min="3" max="3" width="30.6640625" customWidth="1"/>
    <col min="4" max="4" width="10.6640625" customWidth="1"/>
    <col min="5" max="5" width="10.5" style="5" customWidth="1"/>
    <col min="6" max="6" width="10.5" customWidth="1"/>
    <col min="7" max="7" width="2.6640625" customWidth="1"/>
    <col min="8" max="8" width="6.1640625" hidden="1" customWidth="1"/>
    <col min="9" max="64" width="2.5" customWidth="1"/>
    <col min="69" max="70" width="10.33203125"/>
  </cols>
  <sheetData>
    <row r="1" spans="1:64" ht="30" customHeight="1" x14ac:dyDescent="0.35">
      <c r="A1" s="60" t="s">
        <v>33</v>
      </c>
      <c r="B1" s="64" t="s">
        <v>4</v>
      </c>
      <c r="C1" s="1"/>
      <c r="D1" s="2"/>
      <c r="E1" s="4"/>
      <c r="F1" s="46"/>
      <c r="H1" s="2"/>
      <c r="I1" s="14" t="s">
        <v>13</v>
      </c>
    </row>
    <row r="2" spans="1:64" ht="30" customHeight="1" x14ac:dyDescent="0.25">
      <c r="A2" s="59" t="s">
        <v>27</v>
      </c>
      <c r="B2" s="65" t="s">
        <v>23</v>
      </c>
      <c r="I2" s="62" t="s">
        <v>18</v>
      </c>
    </row>
    <row r="3" spans="1:64" ht="30" customHeight="1" x14ac:dyDescent="0.2">
      <c r="A3" s="59" t="s">
        <v>34</v>
      </c>
      <c r="B3" s="66" t="s">
        <v>24</v>
      </c>
      <c r="C3" s="86" t="s">
        <v>1</v>
      </c>
      <c r="D3" s="87"/>
      <c r="E3" s="85">
        <f ca="1">TODAY()</f>
        <v>43423</v>
      </c>
      <c r="F3" s="85"/>
    </row>
    <row r="4" spans="1:64" ht="30" customHeight="1" x14ac:dyDescent="0.2">
      <c r="A4" s="60" t="s">
        <v>35</v>
      </c>
      <c r="C4" s="86" t="s">
        <v>9</v>
      </c>
      <c r="D4" s="87"/>
      <c r="E4" s="7">
        <v>1</v>
      </c>
      <c r="I4" s="82">
        <f ca="1">I5</f>
        <v>43423</v>
      </c>
      <c r="J4" s="83"/>
      <c r="K4" s="83"/>
      <c r="L4" s="83"/>
      <c r="M4" s="83"/>
      <c r="N4" s="83"/>
      <c r="O4" s="84"/>
      <c r="P4" s="82">
        <f ca="1">P5</f>
        <v>43430</v>
      </c>
      <c r="Q4" s="83"/>
      <c r="R4" s="83"/>
      <c r="S4" s="83"/>
      <c r="T4" s="83"/>
      <c r="U4" s="83"/>
      <c r="V4" s="84"/>
      <c r="W4" s="82">
        <f ca="1">W5</f>
        <v>43437</v>
      </c>
      <c r="X4" s="83"/>
      <c r="Y4" s="83"/>
      <c r="Z4" s="83"/>
      <c r="AA4" s="83"/>
      <c r="AB4" s="83"/>
      <c r="AC4" s="84"/>
      <c r="AD4" s="82">
        <f ca="1">AD5</f>
        <v>43444</v>
      </c>
      <c r="AE4" s="83"/>
      <c r="AF4" s="83"/>
      <c r="AG4" s="83"/>
      <c r="AH4" s="83"/>
      <c r="AI4" s="83"/>
      <c r="AJ4" s="84"/>
      <c r="AK4" s="82">
        <f ca="1">AK5</f>
        <v>43451</v>
      </c>
      <c r="AL4" s="83"/>
      <c r="AM4" s="83"/>
      <c r="AN4" s="83"/>
      <c r="AO4" s="83"/>
      <c r="AP4" s="83"/>
      <c r="AQ4" s="84"/>
      <c r="AR4" s="82">
        <f ca="1">AR5</f>
        <v>43458</v>
      </c>
      <c r="AS4" s="83"/>
      <c r="AT4" s="83"/>
      <c r="AU4" s="83"/>
      <c r="AV4" s="83"/>
      <c r="AW4" s="83"/>
      <c r="AX4" s="84"/>
      <c r="AY4" s="82">
        <f ca="1">AY5</f>
        <v>43465</v>
      </c>
      <c r="AZ4" s="83"/>
      <c r="BA4" s="83"/>
      <c r="BB4" s="83"/>
      <c r="BC4" s="83"/>
      <c r="BD4" s="83"/>
      <c r="BE4" s="84"/>
      <c r="BF4" s="82">
        <f ca="1">BF5</f>
        <v>43472</v>
      </c>
      <c r="BG4" s="83"/>
      <c r="BH4" s="83"/>
      <c r="BI4" s="83"/>
      <c r="BJ4" s="83"/>
      <c r="BK4" s="83"/>
      <c r="BL4" s="84"/>
    </row>
    <row r="5" spans="1:64" ht="15" customHeight="1" x14ac:dyDescent="0.2">
      <c r="A5" s="60" t="s">
        <v>36</v>
      </c>
      <c r="B5" s="88"/>
      <c r="C5" s="88"/>
      <c r="D5" s="88"/>
      <c r="E5" s="88"/>
      <c r="F5" s="88"/>
      <c r="G5" s="88"/>
      <c r="I5" s="11">
        <f ca="1">Project_Start-WEEKDAY(Project_Start,1)+2+7*(Display_Week-1)</f>
        <v>43423</v>
      </c>
      <c r="J5" s="10">
        <f ca="1">I5+1</f>
        <v>43424</v>
      </c>
      <c r="K5" s="10">
        <f t="shared" ref="K5:AX5" ca="1" si="0">J5+1</f>
        <v>43425</v>
      </c>
      <c r="L5" s="10">
        <f t="shared" ca="1" si="0"/>
        <v>43426</v>
      </c>
      <c r="M5" s="10">
        <f t="shared" ca="1" si="0"/>
        <v>43427</v>
      </c>
      <c r="N5" s="10">
        <f t="shared" ca="1" si="0"/>
        <v>43428</v>
      </c>
      <c r="O5" s="12">
        <f t="shared" ca="1" si="0"/>
        <v>43429</v>
      </c>
      <c r="P5" s="11">
        <f ca="1">O5+1</f>
        <v>43430</v>
      </c>
      <c r="Q5" s="10">
        <f ca="1">P5+1</f>
        <v>43431</v>
      </c>
      <c r="R5" s="10">
        <f t="shared" ca="1" si="0"/>
        <v>43432</v>
      </c>
      <c r="S5" s="10">
        <f t="shared" ca="1" si="0"/>
        <v>43433</v>
      </c>
      <c r="T5" s="10">
        <f t="shared" ca="1" si="0"/>
        <v>43434</v>
      </c>
      <c r="U5" s="10">
        <f t="shared" ca="1" si="0"/>
        <v>43435</v>
      </c>
      <c r="V5" s="12">
        <f t="shared" ca="1" si="0"/>
        <v>43436</v>
      </c>
      <c r="W5" s="11">
        <f ca="1">V5+1</f>
        <v>43437</v>
      </c>
      <c r="X5" s="10">
        <f ca="1">W5+1</f>
        <v>43438</v>
      </c>
      <c r="Y5" s="10">
        <f t="shared" ca="1" si="0"/>
        <v>43439</v>
      </c>
      <c r="Z5" s="10">
        <f t="shared" ca="1" si="0"/>
        <v>43440</v>
      </c>
      <c r="AA5" s="10">
        <f t="shared" ca="1" si="0"/>
        <v>43441</v>
      </c>
      <c r="AB5" s="10">
        <f t="shared" ca="1" si="0"/>
        <v>43442</v>
      </c>
      <c r="AC5" s="12">
        <f t="shared" ca="1" si="0"/>
        <v>43443</v>
      </c>
      <c r="AD5" s="11">
        <f ca="1">AC5+1</f>
        <v>43444</v>
      </c>
      <c r="AE5" s="10">
        <f ca="1">AD5+1</f>
        <v>43445</v>
      </c>
      <c r="AF5" s="10">
        <f t="shared" ca="1" si="0"/>
        <v>43446</v>
      </c>
      <c r="AG5" s="10">
        <f t="shared" ca="1" si="0"/>
        <v>43447</v>
      </c>
      <c r="AH5" s="10">
        <f t="shared" ca="1" si="0"/>
        <v>43448</v>
      </c>
      <c r="AI5" s="10">
        <f t="shared" ca="1" si="0"/>
        <v>43449</v>
      </c>
      <c r="AJ5" s="12">
        <f t="shared" ca="1" si="0"/>
        <v>43450</v>
      </c>
      <c r="AK5" s="11">
        <f ca="1">AJ5+1</f>
        <v>43451</v>
      </c>
      <c r="AL5" s="10">
        <f ca="1">AK5+1</f>
        <v>43452</v>
      </c>
      <c r="AM5" s="10">
        <f t="shared" ca="1" si="0"/>
        <v>43453</v>
      </c>
      <c r="AN5" s="10">
        <f t="shared" ca="1" si="0"/>
        <v>43454</v>
      </c>
      <c r="AO5" s="10">
        <f t="shared" ca="1" si="0"/>
        <v>43455</v>
      </c>
      <c r="AP5" s="10">
        <f t="shared" ca="1" si="0"/>
        <v>43456</v>
      </c>
      <c r="AQ5" s="12">
        <f t="shared" ca="1" si="0"/>
        <v>43457</v>
      </c>
      <c r="AR5" s="11">
        <f ca="1">AQ5+1</f>
        <v>43458</v>
      </c>
      <c r="AS5" s="10">
        <f ca="1">AR5+1</f>
        <v>43459</v>
      </c>
      <c r="AT5" s="10">
        <f t="shared" ca="1" si="0"/>
        <v>43460</v>
      </c>
      <c r="AU5" s="10">
        <f t="shared" ca="1" si="0"/>
        <v>43461</v>
      </c>
      <c r="AV5" s="10">
        <f t="shared" ca="1" si="0"/>
        <v>43462</v>
      </c>
      <c r="AW5" s="10">
        <f t="shared" ca="1" si="0"/>
        <v>43463</v>
      </c>
      <c r="AX5" s="12">
        <f t="shared" ca="1" si="0"/>
        <v>43464</v>
      </c>
      <c r="AY5" s="11">
        <f ca="1">AX5+1</f>
        <v>43465</v>
      </c>
      <c r="AZ5" s="10">
        <f ca="1">AY5+1</f>
        <v>43466</v>
      </c>
      <c r="BA5" s="10">
        <f t="shared" ref="BA5:BE5" ca="1" si="1">AZ5+1</f>
        <v>43467</v>
      </c>
      <c r="BB5" s="10">
        <f t="shared" ca="1" si="1"/>
        <v>43468</v>
      </c>
      <c r="BC5" s="10">
        <f t="shared" ca="1" si="1"/>
        <v>43469</v>
      </c>
      <c r="BD5" s="10">
        <f t="shared" ca="1" si="1"/>
        <v>43470</v>
      </c>
      <c r="BE5" s="12">
        <f t="shared" ca="1" si="1"/>
        <v>43471</v>
      </c>
      <c r="BF5" s="11">
        <f ca="1">BE5+1</f>
        <v>43472</v>
      </c>
      <c r="BG5" s="10">
        <f ca="1">BF5+1</f>
        <v>43473</v>
      </c>
      <c r="BH5" s="10">
        <f t="shared" ref="BH5:BL5" ca="1" si="2">BG5+1</f>
        <v>43474</v>
      </c>
      <c r="BI5" s="10">
        <f t="shared" ca="1" si="2"/>
        <v>43475</v>
      </c>
      <c r="BJ5" s="10">
        <f t="shared" ca="1" si="2"/>
        <v>43476</v>
      </c>
      <c r="BK5" s="10">
        <f t="shared" ca="1" si="2"/>
        <v>43477</v>
      </c>
      <c r="BL5" s="12">
        <f t="shared" ca="1" si="2"/>
        <v>43478</v>
      </c>
    </row>
    <row r="6" spans="1:64" ht="30" customHeight="1" thickBot="1" x14ac:dyDescent="0.25">
      <c r="A6" s="60" t="s">
        <v>37</v>
      </c>
      <c r="B6" s="8" t="s">
        <v>10</v>
      </c>
      <c r="C6" s="9" t="s">
        <v>3</v>
      </c>
      <c r="D6" s="9" t="s">
        <v>2</v>
      </c>
      <c r="E6" s="9" t="s">
        <v>6</v>
      </c>
      <c r="F6" s="9" t="s">
        <v>7</v>
      </c>
      <c r="G6" s="9"/>
      <c r="H6" s="9" t="s">
        <v>8</v>
      </c>
      <c r="I6" s="13" t="str">
        <f t="shared" ref="I6" ca="1" si="3">LEFT(TEXT(I5,"ddd"),1)</f>
        <v>m</v>
      </c>
      <c r="J6" s="13" t="str">
        <f t="shared" ref="J6:AR6" ca="1" si="4">LEFT(TEXT(J5,"ddd"),1)</f>
        <v>t</v>
      </c>
      <c r="K6" s="13" t="str">
        <f t="shared" ca="1" si="4"/>
        <v>o</v>
      </c>
      <c r="L6" s="13" t="str">
        <f t="shared" ca="1" si="4"/>
        <v>t</v>
      </c>
      <c r="M6" s="13" t="str">
        <f t="shared" ca="1" si="4"/>
        <v>f</v>
      </c>
      <c r="N6" s="13" t="str">
        <f t="shared" ca="1" si="4"/>
        <v>l</v>
      </c>
      <c r="O6" s="13" t="str">
        <f t="shared" ca="1" si="4"/>
        <v>s</v>
      </c>
      <c r="P6" s="13" t="str">
        <f t="shared" ca="1" si="4"/>
        <v>m</v>
      </c>
      <c r="Q6" s="13" t="str">
        <f t="shared" ca="1" si="4"/>
        <v>t</v>
      </c>
      <c r="R6" s="13" t="str">
        <f t="shared" ca="1" si="4"/>
        <v>o</v>
      </c>
      <c r="S6" s="13" t="str">
        <f t="shared" ca="1" si="4"/>
        <v>t</v>
      </c>
      <c r="T6" s="13" t="str">
        <f t="shared" ca="1" si="4"/>
        <v>f</v>
      </c>
      <c r="U6" s="13" t="str">
        <f t="shared" ca="1" si="4"/>
        <v>l</v>
      </c>
      <c r="V6" s="13" t="str">
        <f t="shared" ca="1" si="4"/>
        <v>s</v>
      </c>
      <c r="W6" s="13" t="str">
        <f t="shared" ca="1" si="4"/>
        <v>m</v>
      </c>
      <c r="X6" s="13" t="str">
        <f t="shared" ca="1" si="4"/>
        <v>t</v>
      </c>
      <c r="Y6" s="13" t="str">
        <f t="shared" ca="1" si="4"/>
        <v>o</v>
      </c>
      <c r="Z6" s="13" t="str">
        <f t="shared" ca="1" si="4"/>
        <v>t</v>
      </c>
      <c r="AA6" s="13" t="str">
        <f t="shared" ca="1" si="4"/>
        <v>f</v>
      </c>
      <c r="AB6" s="13" t="str">
        <f t="shared" ca="1" si="4"/>
        <v>l</v>
      </c>
      <c r="AC6" s="13" t="str">
        <f t="shared" ca="1" si="4"/>
        <v>s</v>
      </c>
      <c r="AD6" s="13" t="str">
        <f t="shared" ca="1" si="4"/>
        <v>m</v>
      </c>
      <c r="AE6" s="13" t="str">
        <f t="shared" ca="1" si="4"/>
        <v>t</v>
      </c>
      <c r="AF6" s="13" t="str">
        <f t="shared" ca="1" si="4"/>
        <v>o</v>
      </c>
      <c r="AG6" s="13" t="str">
        <f t="shared" ca="1" si="4"/>
        <v>t</v>
      </c>
      <c r="AH6" s="13" t="str">
        <f t="shared" ca="1" si="4"/>
        <v>f</v>
      </c>
      <c r="AI6" s="13" t="str">
        <f t="shared" ca="1" si="4"/>
        <v>l</v>
      </c>
      <c r="AJ6" s="13" t="str">
        <f t="shared" ca="1" si="4"/>
        <v>s</v>
      </c>
      <c r="AK6" s="13" t="str">
        <f t="shared" ca="1" si="4"/>
        <v>m</v>
      </c>
      <c r="AL6" s="13" t="str">
        <f t="shared" ca="1" si="4"/>
        <v>t</v>
      </c>
      <c r="AM6" s="13" t="str">
        <f t="shared" ca="1" si="4"/>
        <v>o</v>
      </c>
      <c r="AN6" s="13" t="str">
        <f t="shared" ca="1" si="4"/>
        <v>t</v>
      </c>
      <c r="AO6" s="13" t="str">
        <f t="shared" ca="1" si="4"/>
        <v>f</v>
      </c>
      <c r="AP6" s="13" t="str">
        <f t="shared" ca="1" si="4"/>
        <v>l</v>
      </c>
      <c r="AQ6" s="13" t="str">
        <f t="shared" ca="1" si="4"/>
        <v>s</v>
      </c>
      <c r="AR6" s="13" t="str">
        <f t="shared" ca="1" si="4"/>
        <v>m</v>
      </c>
      <c r="AS6" s="13" t="str">
        <f t="shared" ref="AS6:BL6" ca="1" si="5">LEFT(TEXT(AS5,"ddd"),1)</f>
        <v>t</v>
      </c>
      <c r="AT6" s="13" t="str">
        <f t="shared" ca="1" si="5"/>
        <v>o</v>
      </c>
      <c r="AU6" s="13" t="str">
        <f t="shared" ca="1" si="5"/>
        <v>t</v>
      </c>
      <c r="AV6" s="13" t="str">
        <f t="shared" ca="1" si="5"/>
        <v>f</v>
      </c>
      <c r="AW6" s="13" t="str">
        <f t="shared" ca="1" si="5"/>
        <v>l</v>
      </c>
      <c r="AX6" s="13" t="str">
        <f t="shared" ca="1" si="5"/>
        <v>s</v>
      </c>
      <c r="AY6" s="13" t="str">
        <f t="shared" ca="1" si="5"/>
        <v>m</v>
      </c>
      <c r="AZ6" s="13" t="str">
        <f t="shared" ca="1" si="5"/>
        <v>t</v>
      </c>
      <c r="BA6" s="13" t="str">
        <f t="shared" ca="1" si="5"/>
        <v>o</v>
      </c>
      <c r="BB6" s="13" t="str">
        <f t="shared" ca="1" si="5"/>
        <v>t</v>
      </c>
      <c r="BC6" s="13" t="str">
        <f t="shared" ca="1" si="5"/>
        <v>f</v>
      </c>
      <c r="BD6" s="13" t="str">
        <f t="shared" ca="1" si="5"/>
        <v>l</v>
      </c>
      <c r="BE6" s="13" t="str">
        <f t="shared" ca="1" si="5"/>
        <v>s</v>
      </c>
      <c r="BF6" s="13" t="str">
        <f t="shared" ca="1" si="5"/>
        <v>m</v>
      </c>
      <c r="BG6" s="13" t="str">
        <f t="shared" ca="1" si="5"/>
        <v>t</v>
      </c>
      <c r="BH6" s="13" t="str">
        <f t="shared" ca="1" si="5"/>
        <v>o</v>
      </c>
      <c r="BI6" s="13" t="str">
        <f t="shared" ca="1" si="5"/>
        <v>t</v>
      </c>
      <c r="BJ6" s="13" t="str">
        <f t="shared" ca="1" si="5"/>
        <v>f</v>
      </c>
      <c r="BK6" s="13" t="str">
        <f t="shared" ca="1" si="5"/>
        <v>l</v>
      </c>
      <c r="BL6" s="13" t="str">
        <f t="shared" ca="1" si="5"/>
        <v>s</v>
      </c>
    </row>
    <row r="7" spans="1:64" ht="30" hidden="1" customHeight="1" thickBot="1" x14ac:dyDescent="0.25">
      <c r="A7" s="59" t="s">
        <v>32</v>
      </c>
      <c r="C7" s="63"/>
      <c r="E7"/>
      <c r="H7" t="str">
        <f>IF(OR(ISBLANK(task_start),ISBLANK(task_end)),"",task_end-task_start+1)</f>
        <v/>
      </c>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row>
    <row r="8" spans="1:64" s="3" customFormat="1" ht="30" customHeight="1" thickBot="1" x14ac:dyDescent="0.25">
      <c r="A8" s="60" t="s">
        <v>38</v>
      </c>
      <c r="B8" s="17" t="s">
        <v>42</v>
      </c>
      <c r="C8" s="72"/>
      <c r="D8" s="18"/>
      <c r="E8" s="19"/>
      <c r="F8" s="20"/>
      <c r="G8" s="16"/>
      <c r="H8" s="16" t="str">
        <f t="shared" ref="H8:H34" si="6">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3" customFormat="1" ht="30" customHeight="1" thickBot="1" x14ac:dyDescent="0.25">
      <c r="A9" s="60" t="s">
        <v>39</v>
      </c>
      <c r="B9" s="89" t="s">
        <v>43</v>
      </c>
      <c r="C9" s="73" t="s">
        <v>28</v>
      </c>
      <c r="D9" s="21">
        <v>0</v>
      </c>
      <c r="E9" s="67">
        <f ca="1">Project_Start</f>
        <v>43423</v>
      </c>
      <c r="F9" s="67">
        <f ca="1">E9+0</f>
        <v>43423</v>
      </c>
      <c r="G9" s="16"/>
      <c r="H9" s="16">
        <f t="shared" ca="1" si="6"/>
        <v>1</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 customFormat="1" ht="30" customHeight="1" thickBot="1" x14ac:dyDescent="0.25">
      <c r="A10" s="60" t="s">
        <v>40</v>
      </c>
      <c r="B10" s="89" t="s">
        <v>44</v>
      </c>
      <c r="C10" s="73"/>
      <c r="D10" s="21">
        <v>0</v>
      </c>
      <c r="E10" s="67">
        <f ca="1">F9</f>
        <v>43423</v>
      </c>
      <c r="F10" s="67">
        <f ca="1">E10+0</f>
        <v>43423</v>
      </c>
      <c r="G10" s="16"/>
      <c r="H10" s="16">
        <f t="shared" ca="1" si="6"/>
        <v>1</v>
      </c>
      <c r="I10" s="43"/>
      <c r="J10" s="43"/>
      <c r="K10" s="43"/>
      <c r="L10" s="43"/>
      <c r="M10" s="43"/>
      <c r="N10" s="43"/>
      <c r="O10" s="43"/>
      <c r="P10" s="43"/>
      <c r="Q10" s="43"/>
      <c r="R10" s="43"/>
      <c r="S10" s="43"/>
      <c r="T10" s="43"/>
      <c r="U10" s="44"/>
      <c r="V10" s="44"/>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 customFormat="1" ht="30" customHeight="1" thickBot="1" x14ac:dyDescent="0.25">
      <c r="A11" s="59"/>
      <c r="B11" s="89" t="s">
        <v>51</v>
      </c>
      <c r="C11" s="73"/>
      <c r="D11" s="21">
        <v>0</v>
      </c>
      <c r="E11" s="67">
        <f ca="1">F10</f>
        <v>43423</v>
      </c>
      <c r="F11" s="67">
        <f ca="1">E11+0</f>
        <v>43423</v>
      </c>
      <c r="G11" s="16"/>
      <c r="H11" s="16">
        <f t="shared" ca="1" si="6"/>
        <v>1</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 customFormat="1" ht="30" customHeight="1" thickBot="1" x14ac:dyDescent="0.25">
      <c r="A12" s="59"/>
      <c r="B12" s="89" t="s">
        <v>52</v>
      </c>
      <c r="C12" s="73"/>
      <c r="D12" s="21">
        <v>0</v>
      </c>
      <c r="E12" s="67">
        <f ca="1">F11</f>
        <v>43423</v>
      </c>
      <c r="F12" s="67">
        <f ca="1">E12+0</f>
        <v>43423</v>
      </c>
      <c r="G12" s="16"/>
      <c r="H12" s="16">
        <f t="shared" ca="1" si="6"/>
        <v>1</v>
      </c>
      <c r="I12" s="43"/>
      <c r="J12" s="43"/>
      <c r="K12" s="43"/>
      <c r="L12" s="43"/>
      <c r="M12" s="43"/>
      <c r="N12" s="43"/>
      <c r="O12" s="43"/>
      <c r="P12" s="43"/>
      <c r="Q12" s="43"/>
      <c r="R12" s="43"/>
      <c r="S12" s="43"/>
      <c r="T12" s="43"/>
      <c r="U12" s="43"/>
      <c r="V12" s="43"/>
      <c r="W12" s="43"/>
      <c r="X12" s="43"/>
      <c r="Y12" s="44"/>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 customFormat="1" ht="30" customHeight="1" thickBot="1" x14ac:dyDescent="0.25">
      <c r="A13" s="60" t="s">
        <v>41</v>
      </c>
      <c r="B13" s="22" t="s">
        <v>45</v>
      </c>
      <c r="C13" s="74"/>
      <c r="D13" s="23"/>
      <c r="E13" s="24"/>
      <c r="F13" s="25"/>
      <c r="G13" s="16"/>
      <c r="H13" s="16" t="str">
        <f t="shared" si="6"/>
        <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 customFormat="1" ht="30" customHeight="1" thickBot="1" x14ac:dyDescent="0.25">
      <c r="A14" s="60"/>
      <c r="B14" s="90" t="s">
        <v>53</v>
      </c>
      <c r="C14" s="75"/>
      <c r="D14" s="26">
        <v>0</v>
      </c>
      <c r="E14" s="68">
        <f ca="1">F12+1</f>
        <v>43424</v>
      </c>
      <c r="F14" s="68">
        <f ca="1">E14+3</f>
        <v>43427</v>
      </c>
      <c r="G14" s="16"/>
      <c r="H14" s="16">
        <f t="shared" ca="1" si="6"/>
        <v>4</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 customFormat="1" ht="30" customHeight="1" thickBot="1" x14ac:dyDescent="0.25">
      <c r="A15" s="59"/>
      <c r="B15" s="90" t="s">
        <v>54</v>
      </c>
      <c r="C15" s="75"/>
      <c r="D15" s="26">
        <v>0</v>
      </c>
      <c r="E15" s="68">
        <f ca="1">E14</f>
        <v>43424</v>
      </c>
      <c r="F15" s="68">
        <f ca="1">E15+3</f>
        <v>43427</v>
      </c>
      <c r="G15" s="16"/>
      <c r="H15" s="16">
        <f t="shared" ca="1" si="6"/>
        <v>4</v>
      </c>
      <c r="I15" s="43"/>
      <c r="J15" s="43"/>
      <c r="K15" s="43"/>
      <c r="L15" s="43"/>
      <c r="M15" s="43"/>
      <c r="N15" s="43"/>
      <c r="O15" s="43"/>
      <c r="P15" s="43"/>
      <c r="Q15" s="43"/>
      <c r="R15" s="43"/>
      <c r="S15" s="43"/>
      <c r="T15" s="43"/>
      <c r="U15" s="44"/>
      <c r="V15" s="44"/>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 customFormat="1" ht="30" customHeight="1" thickBot="1" x14ac:dyDescent="0.25">
      <c r="A16" s="59"/>
      <c r="B16" s="90" t="s">
        <v>55</v>
      </c>
      <c r="C16" s="75"/>
      <c r="D16" s="26">
        <v>0</v>
      </c>
      <c r="E16" s="68">
        <f ca="1">F15+3</f>
        <v>43430</v>
      </c>
      <c r="F16" s="68">
        <f ca="1">E16+4</f>
        <v>43434</v>
      </c>
      <c r="G16" s="16"/>
      <c r="H16" s="16">
        <f t="shared" ca="1" si="6"/>
        <v>5</v>
      </c>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 customFormat="1" ht="30" customHeight="1" thickBot="1" x14ac:dyDescent="0.25">
      <c r="A17" s="59"/>
      <c r="B17" s="90" t="s">
        <v>46</v>
      </c>
      <c r="C17" s="75"/>
      <c r="D17" s="26">
        <v>0</v>
      </c>
      <c r="E17" s="91">
        <f ca="1">F16</f>
        <v>43434</v>
      </c>
      <c r="F17" s="91">
        <f ca="1">E17</f>
        <v>43434</v>
      </c>
      <c r="G17" s="16"/>
      <c r="H17" s="16">
        <f t="shared" ca="1" si="6"/>
        <v>1</v>
      </c>
      <c r="I17" s="43"/>
      <c r="J17" s="43"/>
      <c r="K17" s="43"/>
      <c r="L17" s="43"/>
      <c r="M17" s="43"/>
      <c r="N17" s="43"/>
      <c r="O17" s="43"/>
      <c r="P17" s="43"/>
      <c r="Q17" s="43"/>
      <c r="R17" s="43"/>
      <c r="S17" s="43"/>
      <c r="T17" s="43"/>
      <c r="U17" s="43"/>
      <c r="V17" s="43"/>
      <c r="W17" s="43"/>
      <c r="X17" s="43"/>
      <c r="Y17" s="44"/>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 customFormat="1" ht="30" customHeight="1" thickBot="1" x14ac:dyDescent="0.25">
      <c r="A18" s="59" t="s">
        <v>29</v>
      </c>
      <c r="B18" s="27" t="s">
        <v>57</v>
      </c>
      <c r="C18" s="76"/>
      <c r="D18" s="28"/>
      <c r="E18" s="29"/>
      <c r="F18" s="30"/>
      <c r="G18" s="16"/>
      <c r="H18" s="16" t="str">
        <f t="shared" si="6"/>
        <v/>
      </c>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 customFormat="1" ht="30" customHeight="1" thickBot="1" x14ac:dyDescent="0.25">
      <c r="A19" s="59"/>
      <c r="B19" s="93" t="s">
        <v>47</v>
      </c>
      <c r="C19" s="77"/>
      <c r="D19" s="31">
        <v>0</v>
      </c>
      <c r="E19" s="69">
        <f ca="1">E9+14</f>
        <v>43437</v>
      </c>
      <c r="F19" s="69">
        <f t="shared" ref="F19:F22" ca="1" si="7">E19+4</f>
        <v>43441</v>
      </c>
      <c r="G19" s="16"/>
      <c r="H19" s="16">
        <f t="shared" ca="1" si="6"/>
        <v>5</v>
      </c>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 customFormat="1" ht="30" customHeight="1" thickBot="1" x14ac:dyDescent="0.25">
      <c r="A20" s="59"/>
      <c r="B20" s="93" t="s">
        <v>48</v>
      </c>
      <c r="C20" s="77"/>
      <c r="D20" s="31">
        <v>0</v>
      </c>
      <c r="E20" s="69">
        <f ca="1">E19</f>
        <v>43437</v>
      </c>
      <c r="F20" s="69">
        <f t="shared" ca="1" si="7"/>
        <v>43441</v>
      </c>
      <c r="G20" s="16"/>
      <c r="H20" s="16">
        <f t="shared" ca="1" si="6"/>
        <v>5</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 customFormat="1" ht="30" customHeight="1" thickBot="1" x14ac:dyDescent="0.25">
      <c r="A21" s="59"/>
      <c r="B21" s="93" t="s">
        <v>58</v>
      </c>
      <c r="C21" s="77"/>
      <c r="D21" s="31">
        <v>0</v>
      </c>
      <c r="E21" s="69">
        <f ca="1">E20</f>
        <v>43437</v>
      </c>
      <c r="F21" s="69">
        <f t="shared" ca="1" si="7"/>
        <v>43441</v>
      </c>
      <c r="G21" s="16"/>
      <c r="H21" s="16">
        <f t="shared" ca="1" si="6"/>
        <v>5</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 customFormat="1" ht="30" customHeight="1" thickBot="1" x14ac:dyDescent="0.25">
      <c r="A22" s="59"/>
      <c r="B22" s="93" t="s">
        <v>59</v>
      </c>
      <c r="C22" s="77"/>
      <c r="D22" s="31">
        <v>0</v>
      </c>
      <c r="E22" s="69">
        <f ca="1">E21</f>
        <v>43437</v>
      </c>
      <c r="F22" s="69">
        <f t="shared" ca="1" si="7"/>
        <v>43441</v>
      </c>
      <c r="G22" s="16"/>
      <c r="H22" s="16">
        <f t="shared" ca="1" si="6"/>
        <v>5</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 customFormat="1" ht="30" customHeight="1" thickBot="1" x14ac:dyDescent="0.25">
      <c r="A23" s="59"/>
      <c r="B23" s="93" t="s">
        <v>49</v>
      </c>
      <c r="C23" s="77"/>
      <c r="D23" s="31">
        <v>0</v>
      </c>
      <c r="E23" s="69">
        <f ca="1">E19</f>
        <v>43437</v>
      </c>
      <c r="F23" s="69">
        <f ca="1">F22</f>
        <v>43441</v>
      </c>
      <c r="G23" s="16"/>
      <c r="H23" s="16"/>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 customFormat="1" ht="30" customHeight="1" thickBot="1" x14ac:dyDescent="0.25">
      <c r="A24" s="59"/>
      <c r="B24" s="93" t="s">
        <v>50</v>
      </c>
      <c r="C24" s="77"/>
      <c r="D24" s="31">
        <v>0</v>
      </c>
      <c r="E24" s="69">
        <f ca="1">E21</f>
        <v>43437</v>
      </c>
      <c r="F24" s="69">
        <f ca="1">E24+4</f>
        <v>43441</v>
      </c>
      <c r="G24" s="16"/>
      <c r="H24" s="16">
        <f t="shared" ca="1" si="6"/>
        <v>5</v>
      </c>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 customFormat="1" ht="30" customHeight="1" thickBot="1" x14ac:dyDescent="0.25">
      <c r="A25" s="59" t="s">
        <v>29</v>
      </c>
      <c r="B25" s="32" t="s">
        <v>60</v>
      </c>
      <c r="C25" s="78"/>
      <c r="D25" s="33"/>
      <c r="E25" s="34"/>
      <c r="F25" s="35"/>
      <c r="G25" s="16"/>
      <c r="H25" s="16" t="str">
        <f t="shared" si="6"/>
        <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 customFormat="1" ht="30" customHeight="1" thickBot="1" x14ac:dyDescent="0.25">
      <c r="A26" s="59"/>
      <c r="B26" s="92" t="s">
        <v>61</v>
      </c>
      <c r="C26" s="79"/>
      <c r="D26" s="36">
        <v>0</v>
      </c>
      <c r="E26" s="70">
        <f ca="1">F24+3</f>
        <v>43444</v>
      </c>
      <c r="F26" s="70">
        <f ca="1">E26+4</f>
        <v>43448</v>
      </c>
      <c r="G26" s="16"/>
      <c r="H26" s="16">
        <f t="shared" ca="1" si="6"/>
        <v>5</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 customFormat="1" ht="30" customHeight="1" thickBot="1" x14ac:dyDescent="0.25">
      <c r="A27" s="59"/>
      <c r="B27" s="92" t="s">
        <v>62</v>
      </c>
      <c r="C27" s="79"/>
      <c r="D27" s="36">
        <v>0</v>
      </c>
      <c r="E27" s="70">
        <f ca="1">E26</f>
        <v>43444</v>
      </c>
      <c r="F27" s="70">
        <f ca="1">F26</f>
        <v>43448</v>
      </c>
      <c r="G27" s="16"/>
      <c r="H27" s="16">
        <f t="shared" ca="1" si="6"/>
        <v>5</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 customFormat="1" ht="30" customHeight="1" thickBot="1" x14ac:dyDescent="0.25">
      <c r="A28" s="59"/>
      <c r="B28" s="92" t="s">
        <v>63</v>
      </c>
      <c r="C28" s="79"/>
      <c r="D28" s="36">
        <v>0</v>
      </c>
      <c r="E28" s="70">
        <f ca="1">E27</f>
        <v>43444</v>
      </c>
      <c r="F28" s="70">
        <f ca="1">F27</f>
        <v>43448</v>
      </c>
      <c r="G28" s="16"/>
      <c r="H28" s="16">
        <f t="shared" ca="1" si="6"/>
        <v>5</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 customFormat="1" ht="30" customHeight="1" thickBot="1" x14ac:dyDescent="0.25">
      <c r="A29" s="59"/>
      <c r="B29" s="92" t="s">
        <v>64</v>
      </c>
      <c r="C29" s="79"/>
      <c r="D29" s="36">
        <v>0</v>
      </c>
      <c r="E29" s="70">
        <f ca="1">E28</f>
        <v>43444</v>
      </c>
      <c r="F29" s="70">
        <f ca="1">F28</f>
        <v>43448</v>
      </c>
      <c r="G29" s="16"/>
      <c r="H29" s="16"/>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 customFormat="1" ht="30" customHeight="1" thickBot="1" x14ac:dyDescent="0.25">
      <c r="A30" s="59"/>
      <c r="B30" s="92" t="s">
        <v>65</v>
      </c>
      <c r="C30" s="79"/>
      <c r="D30" s="36">
        <v>0</v>
      </c>
      <c r="E30" s="70">
        <f ca="1">E29</f>
        <v>43444</v>
      </c>
      <c r="F30" s="70">
        <f ca="1">F29</f>
        <v>43448</v>
      </c>
      <c r="G30" s="16"/>
      <c r="H30" s="16"/>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s="3" customFormat="1" ht="30" customHeight="1" thickBot="1" x14ac:dyDescent="0.25">
      <c r="A31" s="59"/>
      <c r="B31" s="92" t="s">
        <v>66</v>
      </c>
      <c r="C31" s="79"/>
      <c r="D31" s="36">
        <v>0</v>
      </c>
      <c r="E31" s="70">
        <f ca="1">E28</f>
        <v>43444</v>
      </c>
      <c r="F31" s="70">
        <f ca="1">F28</f>
        <v>43448</v>
      </c>
      <c r="G31" s="16"/>
      <c r="H31" s="16">
        <f t="shared" ca="1" si="6"/>
        <v>5</v>
      </c>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s="3" customFormat="1" ht="30" customHeight="1" thickBot="1" x14ac:dyDescent="0.25">
      <c r="A32" s="59"/>
      <c r="B32" s="92" t="s">
        <v>56</v>
      </c>
      <c r="C32" s="79"/>
      <c r="D32" s="36">
        <v>0</v>
      </c>
      <c r="E32" s="70">
        <f ca="1">F31</f>
        <v>43448</v>
      </c>
      <c r="F32" s="70">
        <f ca="1">E32</f>
        <v>43448</v>
      </c>
      <c r="G32" s="16"/>
      <c r="H32" s="16">
        <f t="shared" ca="1" si="6"/>
        <v>1</v>
      </c>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s="3" customFormat="1" ht="30" customHeight="1" thickBot="1" x14ac:dyDescent="0.25">
      <c r="A33" s="59" t="s">
        <v>31</v>
      </c>
      <c r="B33" s="81"/>
      <c r="C33" s="80"/>
      <c r="D33" s="15"/>
      <c r="E33" s="71"/>
      <c r="F33" s="71"/>
      <c r="G33" s="16"/>
      <c r="H33" s="16" t="str">
        <f t="shared" si="6"/>
        <v/>
      </c>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row>
    <row r="34" spans="1:64" s="3" customFormat="1" ht="30" customHeight="1" thickBot="1" x14ac:dyDescent="0.25">
      <c r="A34" s="60" t="s">
        <v>30</v>
      </c>
      <c r="B34" s="37" t="s">
        <v>0</v>
      </c>
      <c r="C34" s="38"/>
      <c r="D34" s="39"/>
      <c r="E34" s="40"/>
      <c r="F34" s="41"/>
      <c r="G34" s="42"/>
      <c r="H34" s="42" t="str">
        <f t="shared" si="6"/>
        <v/>
      </c>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row>
    <row r="35" spans="1:64" ht="30" customHeight="1" thickBot="1" x14ac:dyDescent="0.25">
      <c r="D35" t="s">
        <v>69</v>
      </c>
      <c r="G35" s="6"/>
    </row>
    <row r="36" spans="1:64" ht="30" customHeight="1" thickBot="1" x14ac:dyDescent="0.25">
      <c r="C36" s="17" t="s">
        <v>42</v>
      </c>
      <c r="D36" t="s">
        <v>67</v>
      </c>
      <c r="F36" s="61"/>
    </row>
    <row r="37" spans="1:64" ht="30" customHeight="1" thickBot="1" x14ac:dyDescent="0.25">
      <c r="C37" s="22" t="s">
        <v>45</v>
      </c>
      <c r="D37" t="s">
        <v>68</v>
      </c>
    </row>
    <row r="38" spans="1:64" ht="30" customHeight="1" thickBot="1" x14ac:dyDescent="0.25">
      <c r="C38" s="27" t="s">
        <v>57</v>
      </c>
      <c r="D38" t="s">
        <v>70</v>
      </c>
    </row>
    <row r="39" spans="1:64" ht="30" customHeight="1" thickBot="1" x14ac:dyDescent="0.25">
      <c r="C39" s="32" t="s">
        <v>60</v>
      </c>
      <c r="D39" t="s">
        <v>71</v>
      </c>
    </row>
    <row r="40" spans="1:64" ht="30" customHeight="1" x14ac:dyDescent="0.2">
      <c r="C40" t="s">
        <v>72</v>
      </c>
    </row>
    <row r="41" spans="1:64" ht="30" customHeight="1" x14ac:dyDescent="0.2">
      <c r="C41" t="s">
        <v>73</v>
      </c>
    </row>
  </sheetData>
  <mergeCells count="12">
    <mergeCell ref="C3:D3"/>
    <mergeCell ref="C4:D4"/>
    <mergeCell ref="B5:G5"/>
    <mergeCell ref="AK4:AQ4"/>
    <mergeCell ref="AR4:AX4"/>
    <mergeCell ref="AY4:BE4"/>
    <mergeCell ref="BF4:BL4"/>
    <mergeCell ref="E3:F3"/>
    <mergeCell ref="I4:O4"/>
    <mergeCell ref="P4:V4"/>
    <mergeCell ref="W4:AC4"/>
    <mergeCell ref="AD4:AJ4"/>
  </mergeCells>
  <conditionalFormatting sqref="D7:D34">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33">
      <formula>AND(TODAY()&gt;=I$5,TODAY()&lt;J$5)</formula>
    </cfRule>
  </conditionalFormatting>
  <conditionalFormatting sqref="I7:BL34">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87.1640625" style="52" customWidth="1"/>
    <col min="2" max="16384" width="9.1640625" style="48"/>
  </cols>
  <sheetData>
    <row r="1" spans="1:2" ht="46.5" customHeight="1" x14ac:dyDescent="0.2">
      <c r="A1" s="47"/>
    </row>
    <row r="2" spans="1:2" s="50" customFormat="1" ht="16" x14ac:dyDescent="0.2">
      <c r="A2" s="49" t="s">
        <v>13</v>
      </c>
      <c r="B2" s="49"/>
    </row>
    <row r="3" spans="1:2" s="55" customFormat="1" ht="27" customHeight="1" x14ac:dyDescent="0.2">
      <c r="A3" s="56" t="s">
        <v>18</v>
      </c>
      <c r="B3" s="56"/>
    </row>
    <row r="4" spans="1:2" s="51" customFormat="1" ht="26" x14ac:dyDescent="0.3">
      <c r="A4" s="53" t="s">
        <v>12</v>
      </c>
    </row>
    <row r="5" spans="1:2" ht="74" customHeight="1" x14ac:dyDescent="0.2">
      <c r="A5" s="54" t="s">
        <v>21</v>
      </c>
    </row>
    <row r="6" spans="1:2" ht="26.25" customHeight="1" x14ac:dyDescent="0.2">
      <c r="A6" s="53" t="s">
        <v>26</v>
      </c>
    </row>
    <row r="7" spans="1:2" s="52" customFormat="1" ht="205" customHeight="1" x14ac:dyDescent="0.2">
      <c r="A7" s="58" t="s">
        <v>25</v>
      </c>
    </row>
    <row r="8" spans="1:2" s="51" customFormat="1" ht="26" x14ac:dyDescent="0.3">
      <c r="A8" s="53" t="s">
        <v>14</v>
      </c>
    </row>
    <row r="9" spans="1:2" ht="48" x14ac:dyDescent="0.2">
      <c r="A9" s="54" t="s">
        <v>22</v>
      </c>
    </row>
    <row r="10" spans="1:2" s="52" customFormat="1" ht="28" customHeight="1" x14ac:dyDescent="0.2">
      <c r="A10" s="57" t="s">
        <v>20</v>
      </c>
    </row>
    <row r="11" spans="1:2" s="51" customFormat="1" ht="26" x14ac:dyDescent="0.3">
      <c r="A11" s="53" t="s">
        <v>11</v>
      </c>
    </row>
    <row r="12" spans="1:2" ht="32" x14ac:dyDescent="0.2">
      <c r="A12" s="54" t="s">
        <v>19</v>
      </c>
    </row>
    <row r="13" spans="1:2" s="52" customFormat="1" ht="28" customHeight="1" x14ac:dyDescent="0.2">
      <c r="A13" s="57" t="s">
        <v>5</v>
      </c>
    </row>
    <row r="14" spans="1:2" s="51" customFormat="1" ht="26" x14ac:dyDescent="0.3">
      <c r="A14" s="53" t="s">
        <v>15</v>
      </c>
    </row>
    <row r="15" spans="1:2" ht="75" customHeight="1" x14ac:dyDescent="0.2">
      <c r="A15" s="54" t="s">
        <v>16</v>
      </c>
    </row>
    <row r="16" spans="1:2" ht="64" x14ac:dyDescent="0.2">
      <c r="A16" s="54" t="s">
        <v>17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Regneark</vt:lpstr>
      </vt:variant>
      <vt:variant>
        <vt:i4>2</vt:i4>
      </vt:variant>
      <vt:variant>
        <vt:lpstr>Navngitte områder</vt:lpstr>
      </vt:variant>
      <vt:variant>
        <vt:i4>6</vt:i4>
      </vt:variant>
    </vt:vector>
  </HeadingPairs>
  <TitlesOfParts>
    <vt:vector size="8" baseType="lpstr">
      <vt:lpstr>ProjectSchedule</vt:lpstr>
      <vt:lpstr>About</vt:lpstr>
      <vt:lpstr>Display_Week</vt:lpstr>
      <vt:lpstr>Project_Start</vt:lpstr>
      <vt:lpstr>ProjectSchedule!task_end</vt:lpstr>
      <vt:lpstr>ProjectSchedule!task_progress</vt:lpstr>
      <vt:lpstr>ProjectSchedule!task_start</vt:lpstr>
      <vt:lpstr>ProjectSchedule!Utskriftstitler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Simen Iversen</cp:lastModifiedBy>
  <dcterms:created xsi:type="dcterms:W3CDTF">2018-05-23T01:25:53Z</dcterms:created>
  <dcterms:modified xsi:type="dcterms:W3CDTF">2018-11-19T18:30:36Z</dcterms:modified>
</cp:coreProperties>
</file>